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ss\Documents\Data\"/>
    </mc:Choice>
  </mc:AlternateContent>
  <xr:revisionPtr revIDLastSave="0" documentId="10_ncr:100000_{B74205DC-7C60-49CA-9336-8294376E4D23}" xr6:coauthVersionLast="31" xr6:coauthVersionMax="31" xr10:uidLastSave="{00000000-0000-0000-0000-000000000000}"/>
  <bookViews>
    <workbookView xWindow="0" yWindow="0" windowWidth="28800" windowHeight="14610" activeTab="1" xr2:uid="{BD78F7B6-C24D-4BB2-86BA-A125195DF1CD}"/>
  </bookViews>
  <sheets>
    <sheet name="Call Types" sheetId="1" r:id="rId1"/>
    <sheet name="Groupings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2" l="1"/>
  <c r="B4" i="2"/>
  <c r="B5" i="2"/>
  <c r="B6" i="2"/>
  <c r="B7" i="2"/>
  <c r="B8" i="2"/>
  <c r="B9" i="2"/>
  <c r="B10" i="2"/>
  <c r="B11" i="2"/>
  <c r="B12" i="2"/>
  <c r="B13" i="2"/>
  <c r="B14" i="2"/>
  <c r="B15" i="2"/>
  <c r="B2" i="2"/>
  <c r="B3" i="2"/>
</calcChain>
</file>

<file path=xl/sharedStrings.xml><?xml version="1.0" encoding="utf-8"?>
<sst xmlns="http://schemas.openxmlformats.org/spreadsheetml/2006/main" count="237" uniqueCount="128">
  <si>
    <t>Water Rescue</t>
  </si>
  <si>
    <t>Inaccessible Incident-Other Entrapments (Non-Vehic</t>
  </si>
  <si>
    <t>Flare Sighting</t>
  </si>
  <si>
    <t>Traffic</t>
  </si>
  <si>
    <t>Traffic-Transportation Incidents</t>
  </si>
  <si>
    <t>Traffic Light Out (10-88)</t>
  </si>
  <si>
    <t>Traffic Control (10-58)</t>
  </si>
  <si>
    <t>Traffic Accident-Non-Injury (10-50PD)</t>
  </si>
  <si>
    <t>Improperly Parked Vehicle (10-70)</t>
  </si>
  <si>
    <t>Hit and Run (Non-Injury) (10-54PD)</t>
  </si>
  <si>
    <t>Drunk Driver (10-55)</t>
  </si>
  <si>
    <t>Disabled Motorist (10-87)</t>
  </si>
  <si>
    <t>Debris in Roadway</t>
  </si>
  <si>
    <t>Careless &amp; Reckless (C&amp;R)</t>
  </si>
  <si>
    <t>Abandoned Vehicle</t>
  </si>
  <si>
    <t>Suspicious</t>
  </si>
  <si>
    <t>Trespassers</t>
  </si>
  <si>
    <t>Suspicious Veh-Subj (10-60)</t>
  </si>
  <si>
    <t>Stopping Vehicle (10-61)</t>
  </si>
  <si>
    <t>Signal 49's-Investigate Poss Narcotics (SIG49)</t>
  </si>
  <si>
    <t>Shots Fired (10-96)</t>
  </si>
  <si>
    <t>Robbery (Strong Arm)</t>
  </si>
  <si>
    <t>Prowler (10-76)</t>
  </si>
  <si>
    <t>Crime in Progress (10-64)</t>
  </si>
  <si>
    <t>Chase-Pursuit (10-43)</t>
  </si>
  <si>
    <t>Be On Lookout</t>
  </si>
  <si>
    <t>B&amp;E In Progress (10-62)</t>
  </si>
  <si>
    <t>Attempt to Locate</t>
  </si>
  <si>
    <t>Armed with Gun-Knife-Etc (10-84)</t>
  </si>
  <si>
    <t>Reports</t>
  </si>
  <si>
    <t>Take Written Report (10-92)</t>
  </si>
  <si>
    <t>Subject in Custody (10-72)</t>
  </si>
  <si>
    <t>Signal 63's-Civil (SIG63)</t>
  </si>
  <si>
    <t>Signal 62's-Warrants (SIG62)</t>
  </si>
  <si>
    <t>Missing-Abandoned Person</t>
  </si>
  <si>
    <t>Investigation-Law</t>
  </si>
  <si>
    <t>Information-Message (10-14)</t>
  </si>
  <si>
    <t>Call By Phone (10-21)</t>
  </si>
  <si>
    <t>Public Assist</t>
  </si>
  <si>
    <t>Wrecker Needed (10-51)</t>
  </si>
  <si>
    <t>Welfare Check</t>
  </si>
  <si>
    <t>Unit Busy at Location (10-6)</t>
  </si>
  <si>
    <t>Tree Down</t>
  </si>
  <si>
    <t>Special Check (Bus-Resd-SOR)</t>
  </si>
  <si>
    <t>Property Check-Security Check</t>
  </si>
  <si>
    <t>Orton</t>
  </si>
  <si>
    <t>Open Door</t>
  </si>
  <si>
    <t>Meet with Subject-Officer (10-25)</t>
  </si>
  <si>
    <t>Meet with Complainant (10-83)</t>
  </si>
  <si>
    <t>Keys In Vehicle-Lockout</t>
  </si>
  <si>
    <t>Operations</t>
  </si>
  <si>
    <t>Water/Sewer Problems</t>
  </si>
  <si>
    <t>Storm-Trees-Debris</t>
  </si>
  <si>
    <t>Storm-Roads (Flooding or Ice)</t>
  </si>
  <si>
    <t>Storm-Power (Outages-Lines)</t>
  </si>
  <si>
    <t>Special Operations-Assignment (SIG55)</t>
  </si>
  <si>
    <t>Give Subject a Ride (10-5)</t>
  </si>
  <si>
    <t>Escort (10-59)</t>
  </si>
  <si>
    <t>Nuisance</t>
  </si>
  <si>
    <t>Noise Complaint</t>
  </si>
  <si>
    <t>Loud Music Disturbance</t>
  </si>
  <si>
    <t>Fireworks</t>
  </si>
  <si>
    <t>Mutual Aid</t>
  </si>
  <si>
    <t>Call by Phone (EMS)</t>
  </si>
  <si>
    <t>Assist Other Agency</t>
  </si>
  <si>
    <t>Medical</t>
  </si>
  <si>
    <t>Unknown Problem (Man Down)</t>
  </si>
  <si>
    <t>Unconscious-Fainting (Near)</t>
  </si>
  <si>
    <t>Traumatic Injuries (Specific)</t>
  </si>
  <si>
    <t>Stroke (CVA)</t>
  </si>
  <si>
    <t>Sick Person (Specific Diagnosis)</t>
  </si>
  <si>
    <t>Psychiatric-Abnormal Behavior- Suicide Attempt</t>
  </si>
  <si>
    <t>Pregnancy - Childbirth - Miscarriage</t>
  </si>
  <si>
    <t>Overdose-Poisoning (Ingestion)</t>
  </si>
  <si>
    <t>Mental Patient (10-73)</t>
  </si>
  <si>
    <t>Hemorrhage - Lacerations</t>
  </si>
  <si>
    <t>Heart Problems - A.I.C.D.</t>
  </si>
  <si>
    <t>Good Intent Call</t>
  </si>
  <si>
    <t>Falls</t>
  </si>
  <si>
    <t>EMD In Progress</t>
  </si>
  <si>
    <t>Diabetic Problems</t>
  </si>
  <si>
    <t>Convulsions - Seizures</t>
  </si>
  <si>
    <t>Chest Pain (Non-Traumatic)</t>
  </si>
  <si>
    <t>Cardiac or Respiratory Arrest - Death</t>
  </si>
  <si>
    <t>Carbon Monoxide-Inhalation-Hazmat-CBRN</t>
  </si>
  <si>
    <t>Burns (Scalds) - Explosion (Blast)</t>
  </si>
  <si>
    <t>Breathing Problems</t>
  </si>
  <si>
    <t>Assist Fire Dept (10-77)</t>
  </si>
  <si>
    <t>Assault - Sexual Assault</t>
  </si>
  <si>
    <t>Animal Bites - Attacks</t>
  </si>
  <si>
    <t>Allergies (Reactions) - Envenomations (Stings Bite</t>
  </si>
  <si>
    <t>Fire Aid</t>
  </si>
  <si>
    <t>Woods Fire</t>
  </si>
  <si>
    <t>Vehicle Fire</t>
  </si>
  <si>
    <t>Unknown Fire Type (3rd party)</t>
  </si>
  <si>
    <t>Structure Fire</t>
  </si>
  <si>
    <t>Smoke Investigation - Odor</t>
  </si>
  <si>
    <t>Power Line Down-Arcing</t>
  </si>
  <si>
    <t>PD Need Fire Dept</t>
  </si>
  <si>
    <t>Illegal Burn</t>
  </si>
  <si>
    <t>Gas Leak-Spill-Odor</t>
  </si>
  <si>
    <t>Control Burn Out of Control</t>
  </si>
  <si>
    <t>Brush Fire</t>
  </si>
  <si>
    <t>Animal Carcass (10-86)</t>
  </si>
  <si>
    <t>Civil Unrest</t>
  </si>
  <si>
    <t>Intoxicated Person (10-56)</t>
  </si>
  <si>
    <t>Fight in Progress (10-40)</t>
  </si>
  <si>
    <t>Domestic (10-82)</t>
  </si>
  <si>
    <t>Disturbance</t>
  </si>
  <si>
    <t>Animal</t>
  </si>
  <si>
    <t>Livestock in Roadway (10-68)</t>
  </si>
  <si>
    <t>Animal Control Call</t>
  </si>
  <si>
    <t>Alarms</t>
  </si>
  <si>
    <t>Sewer Alarm-Light</t>
  </si>
  <si>
    <t>Fire Alarm Activation</t>
  </si>
  <si>
    <t>Carbon Monoxide Alarm</t>
  </si>
  <si>
    <t>Bank Alarm (Signal44)</t>
  </si>
  <si>
    <t>Alarm (Signal 45)</t>
  </si>
  <si>
    <t>Technical Support</t>
  </si>
  <si>
    <t>DCI Transaction</t>
  </si>
  <si>
    <t>Administrative Call</t>
  </si>
  <si>
    <t>911 Open Line</t>
  </si>
  <si>
    <t>911 Hang Up</t>
  </si>
  <si>
    <t>911 Call Transfer</t>
  </si>
  <si>
    <t>Count</t>
  </si>
  <si>
    <t>Grouping</t>
  </si>
  <si>
    <t>Call Type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</si>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</sst>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Hurricane Florence Calls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Calls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Groupings!$A$2:$A$15</c:f>
              <c:strCache>
                <c:ptCount val="14"/>
                <c:pt idx="0">
                  <c:v>911</c:v>
                </c:pt>
                <c:pt idx="1">
                  <c:v>Alarms</c:v>
                </c:pt>
                <c:pt idx="2">
                  <c:v>Animal</c:v>
                </c:pt>
                <c:pt idx="3">
                  <c:v>Civil Unrest</c:v>
                </c:pt>
                <c:pt idx="4">
                  <c:v>Fire Aid</c:v>
                </c:pt>
                <c:pt idx="5">
                  <c:v>Medical</c:v>
                </c:pt>
                <c:pt idx="6">
                  <c:v>Mutual Aid</c:v>
                </c:pt>
                <c:pt idx="7">
                  <c:v>Nuisance</c:v>
                </c:pt>
                <c:pt idx="8">
                  <c:v>Operations</c:v>
                </c:pt>
                <c:pt idx="9">
                  <c:v>Public Assist</c:v>
                </c:pt>
                <c:pt idx="10">
                  <c:v>Reports</c:v>
                </c:pt>
                <c:pt idx="11">
                  <c:v>Suspicious</c:v>
                </c:pt>
                <c:pt idx="12">
                  <c:v>Traffic</c:v>
                </c:pt>
                <c:pt idx="13">
                  <c:v>Water Rescue</c:v>
                </c:pt>
              </c:strCache>
            </c:strRef>
          </c:cat>
          <c:val>
            <c:numRef>
              <c:f>Groupings!$B$2:$B$15</c:f>
              <c:numCache>
                <c:formatCode>General</c:formatCode>
                <c:ptCount val="14"/>
                <c:pt idx="0">
                  <c:v>108</c:v>
                </c:pt>
                <c:pt idx="1">
                  <c:v>564</c:v>
                </c:pt>
                <c:pt idx="2">
                  <c:v>94</c:v>
                </c:pt>
                <c:pt idx="3">
                  <c:v>155</c:v>
                </c:pt>
                <c:pt idx="4">
                  <c:v>93</c:v>
                </c:pt>
                <c:pt idx="5">
                  <c:v>134</c:v>
                </c:pt>
                <c:pt idx="6">
                  <c:v>8</c:v>
                </c:pt>
                <c:pt idx="7">
                  <c:v>8</c:v>
                </c:pt>
                <c:pt idx="8">
                  <c:v>111</c:v>
                </c:pt>
                <c:pt idx="9">
                  <c:v>598</c:v>
                </c:pt>
                <c:pt idx="10">
                  <c:v>348</c:v>
                </c:pt>
                <c:pt idx="11">
                  <c:v>546</c:v>
                </c:pt>
                <c:pt idx="12">
                  <c:v>277</c:v>
                </c:pt>
                <c:pt idx="1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65-4E02-8E8C-8F7357C79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571832"/>
        <c:axId val="535567568"/>
      </c:barChart>
      <c:catAx>
        <c:axId val="535571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67568"/>
        <c:crosses val="autoZero"/>
        <c:auto val="1"/>
        <c:lblAlgn val="ctr"/>
        <c:lblOffset val="100"/>
        <c:noMultiLvlLbl val="0"/>
      </c:catAx>
      <c:valAx>
        <c:axId val="5355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71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1</xdr:row>
      <xdr:rowOff>80962</xdr:rowOff>
    </xdr:from>
    <xdr:to>
      <xdr:col>11</xdr:col>
      <xdr:colOff>52387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4ABAC-5313-41A1-84DE-BEA6EE07E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066C-2C75-49F4-BC5F-8BA3E5ACE727}">
  <dimension ref="A1:C113"/>
  <sheetViews>
    <sheetView topLeftCell="A80" workbookViewId="0">
      <selection activeCell="B111" sqref="B111"/>
    </sheetView>
  </sheetViews>
  <sheetFormatPr defaultRowHeight="15" x14ac:dyDescent="0.25"/>
  <cols>
    <col min="1" max="1" width="47.5703125" customWidth="1"/>
    <col min="2" max="2" width="14.42578125" customWidth="1"/>
  </cols>
  <sheetData>
    <row r="1" spans="1:3" x14ac:dyDescent="0.25">
      <c r="A1" t="s">
        <v>126</v>
      </c>
      <c r="B1" t="s">
        <v>125</v>
      </c>
      <c r="C1" t="s">
        <v>124</v>
      </c>
    </row>
    <row r="2" spans="1:3" x14ac:dyDescent="0.25">
      <c r="A2" t="s">
        <v>123</v>
      </c>
      <c r="B2">
        <v>911</v>
      </c>
      <c r="C2">
        <v>1</v>
      </c>
    </row>
    <row r="3" spans="1:3" x14ac:dyDescent="0.25">
      <c r="A3" t="s">
        <v>122</v>
      </c>
      <c r="B3">
        <v>911</v>
      </c>
      <c r="C3">
        <v>77</v>
      </c>
    </row>
    <row r="4" spans="1:3" x14ac:dyDescent="0.25">
      <c r="A4" t="s">
        <v>121</v>
      </c>
      <c r="B4">
        <v>911</v>
      </c>
      <c r="C4">
        <v>20</v>
      </c>
    </row>
    <row r="5" spans="1:3" x14ac:dyDescent="0.25">
      <c r="A5" t="s">
        <v>120</v>
      </c>
      <c r="B5">
        <v>911</v>
      </c>
      <c r="C5">
        <v>7</v>
      </c>
    </row>
    <row r="6" spans="1:3" x14ac:dyDescent="0.25">
      <c r="A6" t="s">
        <v>119</v>
      </c>
      <c r="B6">
        <v>911</v>
      </c>
      <c r="C6">
        <v>1</v>
      </c>
    </row>
    <row r="7" spans="1:3" x14ac:dyDescent="0.25">
      <c r="A7" t="s">
        <v>118</v>
      </c>
      <c r="B7">
        <v>911</v>
      </c>
      <c r="C7">
        <v>2</v>
      </c>
    </row>
    <row r="8" spans="1:3" x14ac:dyDescent="0.25">
      <c r="A8" t="s">
        <v>117</v>
      </c>
      <c r="B8" t="s">
        <v>112</v>
      </c>
      <c r="C8">
        <v>484</v>
      </c>
    </row>
    <row r="9" spans="1:3" x14ac:dyDescent="0.25">
      <c r="A9" t="s">
        <v>116</v>
      </c>
      <c r="B9" t="s">
        <v>112</v>
      </c>
      <c r="C9">
        <v>9</v>
      </c>
    </row>
    <row r="10" spans="1:3" x14ac:dyDescent="0.25">
      <c r="A10" t="s">
        <v>115</v>
      </c>
      <c r="B10" t="s">
        <v>112</v>
      </c>
      <c r="C10">
        <v>3</v>
      </c>
    </row>
    <row r="11" spans="1:3" x14ac:dyDescent="0.25">
      <c r="A11" t="s">
        <v>114</v>
      </c>
      <c r="B11" t="s">
        <v>112</v>
      </c>
      <c r="C11">
        <v>67</v>
      </c>
    </row>
    <row r="12" spans="1:3" x14ac:dyDescent="0.25">
      <c r="A12" t="s">
        <v>113</v>
      </c>
      <c r="B12" t="s">
        <v>112</v>
      </c>
      <c r="C12">
        <v>1</v>
      </c>
    </row>
    <row r="13" spans="1:3" x14ac:dyDescent="0.25">
      <c r="A13" t="s">
        <v>111</v>
      </c>
      <c r="B13" t="s">
        <v>109</v>
      </c>
      <c r="C13">
        <v>90</v>
      </c>
    </row>
    <row r="14" spans="1:3" x14ac:dyDescent="0.25">
      <c r="A14" t="s">
        <v>110</v>
      </c>
      <c r="B14" t="s">
        <v>109</v>
      </c>
      <c r="C14">
        <v>2</v>
      </c>
    </row>
    <row r="15" spans="1:3" x14ac:dyDescent="0.25">
      <c r="A15" t="s">
        <v>108</v>
      </c>
      <c r="B15" t="s">
        <v>104</v>
      </c>
      <c r="C15">
        <v>62</v>
      </c>
    </row>
    <row r="16" spans="1:3" x14ac:dyDescent="0.25">
      <c r="A16" t="s">
        <v>107</v>
      </c>
      <c r="B16" t="s">
        <v>104</v>
      </c>
      <c r="C16">
        <v>83</v>
      </c>
    </row>
    <row r="17" spans="1:3" x14ac:dyDescent="0.25">
      <c r="A17" t="s">
        <v>106</v>
      </c>
      <c r="B17" t="s">
        <v>104</v>
      </c>
      <c r="C17">
        <v>2</v>
      </c>
    </row>
    <row r="18" spans="1:3" x14ac:dyDescent="0.25">
      <c r="A18" t="s">
        <v>105</v>
      </c>
      <c r="B18" t="s">
        <v>104</v>
      </c>
      <c r="C18">
        <v>8</v>
      </c>
    </row>
    <row r="19" spans="1:3" x14ac:dyDescent="0.25">
      <c r="A19" t="s">
        <v>103</v>
      </c>
      <c r="B19" t="s">
        <v>109</v>
      </c>
      <c r="C19">
        <v>2</v>
      </c>
    </row>
    <row r="20" spans="1:3" x14ac:dyDescent="0.25">
      <c r="A20" t="s">
        <v>102</v>
      </c>
      <c r="B20" t="s">
        <v>91</v>
      </c>
      <c r="C20">
        <v>2</v>
      </c>
    </row>
    <row r="21" spans="1:3" x14ac:dyDescent="0.25">
      <c r="A21" t="s">
        <v>101</v>
      </c>
      <c r="B21" t="s">
        <v>91</v>
      </c>
      <c r="C21">
        <v>1</v>
      </c>
    </row>
    <row r="22" spans="1:3" x14ac:dyDescent="0.25">
      <c r="A22" t="s">
        <v>100</v>
      </c>
      <c r="B22" t="s">
        <v>91</v>
      </c>
      <c r="C22">
        <v>6</v>
      </c>
    </row>
    <row r="23" spans="1:3" x14ac:dyDescent="0.25">
      <c r="A23" t="s">
        <v>99</v>
      </c>
      <c r="B23" t="s">
        <v>91</v>
      </c>
      <c r="C23">
        <v>24</v>
      </c>
    </row>
    <row r="24" spans="1:3" x14ac:dyDescent="0.25">
      <c r="A24" t="s">
        <v>98</v>
      </c>
      <c r="B24" t="s">
        <v>91</v>
      </c>
      <c r="C24">
        <v>5</v>
      </c>
    </row>
    <row r="25" spans="1:3" x14ac:dyDescent="0.25">
      <c r="A25" t="s">
        <v>97</v>
      </c>
      <c r="B25" t="s">
        <v>91</v>
      </c>
      <c r="C25">
        <v>28</v>
      </c>
    </row>
    <row r="26" spans="1:3" x14ac:dyDescent="0.25">
      <c r="A26" t="s">
        <v>96</v>
      </c>
      <c r="B26" t="s">
        <v>91</v>
      </c>
      <c r="C26">
        <v>3</v>
      </c>
    </row>
    <row r="27" spans="1:3" x14ac:dyDescent="0.25">
      <c r="A27" t="s">
        <v>95</v>
      </c>
      <c r="B27" t="s">
        <v>91</v>
      </c>
      <c r="C27">
        <v>14</v>
      </c>
    </row>
    <row r="28" spans="1:3" x14ac:dyDescent="0.25">
      <c r="A28" t="s">
        <v>94</v>
      </c>
      <c r="B28" t="s">
        <v>91</v>
      </c>
      <c r="C28">
        <v>1</v>
      </c>
    </row>
    <row r="29" spans="1:3" x14ac:dyDescent="0.25">
      <c r="A29" t="s">
        <v>93</v>
      </c>
      <c r="B29" t="s">
        <v>91</v>
      </c>
      <c r="C29">
        <v>5</v>
      </c>
    </row>
    <row r="30" spans="1:3" x14ac:dyDescent="0.25">
      <c r="A30" t="s">
        <v>92</v>
      </c>
      <c r="B30" t="s">
        <v>91</v>
      </c>
      <c r="C30">
        <v>4</v>
      </c>
    </row>
    <row r="31" spans="1:3" x14ac:dyDescent="0.25">
      <c r="A31" t="s">
        <v>90</v>
      </c>
      <c r="B31" t="s">
        <v>65</v>
      </c>
      <c r="C31">
        <v>1</v>
      </c>
    </row>
    <row r="32" spans="1:3" x14ac:dyDescent="0.25">
      <c r="A32" t="s">
        <v>89</v>
      </c>
      <c r="B32" t="s">
        <v>65</v>
      </c>
      <c r="C32">
        <v>2</v>
      </c>
    </row>
    <row r="33" spans="1:3" x14ac:dyDescent="0.25">
      <c r="A33" t="s">
        <v>88</v>
      </c>
      <c r="B33" t="s">
        <v>65</v>
      </c>
      <c r="C33">
        <v>6</v>
      </c>
    </row>
    <row r="34" spans="1:3" x14ac:dyDescent="0.25">
      <c r="A34" t="s">
        <v>87</v>
      </c>
      <c r="B34" t="s">
        <v>65</v>
      </c>
      <c r="C34">
        <v>1</v>
      </c>
    </row>
    <row r="35" spans="1:3" x14ac:dyDescent="0.25">
      <c r="A35" t="s">
        <v>86</v>
      </c>
      <c r="B35" t="s">
        <v>65</v>
      </c>
      <c r="C35">
        <v>5</v>
      </c>
    </row>
    <row r="36" spans="1:3" x14ac:dyDescent="0.25">
      <c r="A36" t="s">
        <v>85</v>
      </c>
      <c r="B36" t="s">
        <v>65</v>
      </c>
      <c r="C36">
        <v>1</v>
      </c>
    </row>
    <row r="37" spans="1:3" x14ac:dyDescent="0.25">
      <c r="A37" t="s">
        <v>84</v>
      </c>
      <c r="B37" t="s">
        <v>65</v>
      </c>
      <c r="C37">
        <v>1</v>
      </c>
    </row>
    <row r="38" spans="1:3" x14ac:dyDescent="0.25">
      <c r="A38" t="s">
        <v>83</v>
      </c>
      <c r="B38" t="s">
        <v>65</v>
      </c>
      <c r="C38">
        <v>13</v>
      </c>
    </row>
    <row r="39" spans="1:3" x14ac:dyDescent="0.25">
      <c r="A39" t="s">
        <v>82</v>
      </c>
      <c r="B39" t="s">
        <v>65</v>
      </c>
      <c r="C39">
        <v>3</v>
      </c>
    </row>
    <row r="40" spans="1:3" x14ac:dyDescent="0.25">
      <c r="A40" t="s">
        <v>81</v>
      </c>
      <c r="B40" t="s">
        <v>65</v>
      </c>
      <c r="C40">
        <v>3</v>
      </c>
    </row>
    <row r="41" spans="1:3" x14ac:dyDescent="0.25">
      <c r="A41" t="s">
        <v>80</v>
      </c>
      <c r="B41" t="s">
        <v>65</v>
      </c>
      <c r="C41">
        <v>2</v>
      </c>
    </row>
    <row r="42" spans="1:3" x14ac:dyDescent="0.25">
      <c r="A42" t="s">
        <v>79</v>
      </c>
      <c r="B42" t="s">
        <v>65</v>
      </c>
      <c r="C42">
        <v>1</v>
      </c>
    </row>
    <row r="43" spans="1:3" x14ac:dyDescent="0.25">
      <c r="A43" t="s">
        <v>78</v>
      </c>
      <c r="B43" t="s">
        <v>65</v>
      </c>
      <c r="C43">
        <v>9</v>
      </c>
    </row>
    <row r="44" spans="1:3" x14ac:dyDescent="0.25">
      <c r="A44" t="s">
        <v>77</v>
      </c>
      <c r="B44" t="s">
        <v>65</v>
      </c>
      <c r="C44">
        <v>11</v>
      </c>
    </row>
    <row r="45" spans="1:3" x14ac:dyDescent="0.25">
      <c r="A45" t="s">
        <v>76</v>
      </c>
      <c r="B45" t="s">
        <v>65</v>
      </c>
      <c r="C45">
        <v>3</v>
      </c>
    </row>
    <row r="46" spans="1:3" x14ac:dyDescent="0.25">
      <c r="A46" t="s">
        <v>75</v>
      </c>
      <c r="B46" t="s">
        <v>65</v>
      </c>
      <c r="C46">
        <v>1</v>
      </c>
    </row>
    <row r="47" spans="1:3" x14ac:dyDescent="0.25">
      <c r="A47" t="s">
        <v>74</v>
      </c>
      <c r="B47" t="s">
        <v>65</v>
      </c>
      <c r="C47">
        <v>10</v>
      </c>
    </row>
    <row r="48" spans="1:3" x14ac:dyDescent="0.25">
      <c r="A48" t="s">
        <v>73</v>
      </c>
      <c r="B48" t="s">
        <v>65</v>
      </c>
      <c r="C48">
        <v>7</v>
      </c>
    </row>
    <row r="49" spans="1:3" x14ac:dyDescent="0.25">
      <c r="A49" t="s">
        <v>72</v>
      </c>
      <c r="B49" t="s">
        <v>65</v>
      </c>
      <c r="C49">
        <v>1</v>
      </c>
    </row>
    <row r="50" spans="1:3" x14ac:dyDescent="0.25">
      <c r="A50" t="s">
        <v>71</v>
      </c>
      <c r="B50" t="s">
        <v>65</v>
      </c>
      <c r="C50">
        <v>17</v>
      </c>
    </row>
    <row r="51" spans="1:3" x14ac:dyDescent="0.25">
      <c r="A51" t="s">
        <v>70</v>
      </c>
      <c r="B51" t="s">
        <v>65</v>
      </c>
      <c r="C51">
        <v>10</v>
      </c>
    </row>
    <row r="52" spans="1:3" x14ac:dyDescent="0.25">
      <c r="A52" t="s">
        <v>69</v>
      </c>
      <c r="B52" t="s">
        <v>65</v>
      </c>
      <c r="C52">
        <v>2</v>
      </c>
    </row>
    <row r="53" spans="1:3" x14ac:dyDescent="0.25">
      <c r="A53" t="s">
        <v>68</v>
      </c>
      <c r="B53" t="s">
        <v>65</v>
      </c>
      <c r="C53">
        <v>2</v>
      </c>
    </row>
    <row r="54" spans="1:3" x14ac:dyDescent="0.25">
      <c r="A54" t="s">
        <v>67</v>
      </c>
      <c r="B54" t="s">
        <v>65</v>
      </c>
      <c r="C54">
        <v>3</v>
      </c>
    </row>
    <row r="55" spans="1:3" x14ac:dyDescent="0.25">
      <c r="A55" t="s">
        <v>66</v>
      </c>
      <c r="B55" t="s">
        <v>65</v>
      </c>
      <c r="C55">
        <v>19</v>
      </c>
    </row>
    <row r="56" spans="1:3" x14ac:dyDescent="0.25">
      <c r="A56" t="s">
        <v>64</v>
      </c>
      <c r="B56" t="s">
        <v>62</v>
      </c>
      <c r="C56">
        <v>6</v>
      </c>
    </row>
    <row r="57" spans="1:3" x14ac:dyDescent="0.25">
      <c r="A57" t="s">
        <v>63</v>
      </c>
      <c r="B57" t="s">
        <v>62</v>
      </c>
      <c r="C57">
        <v>2</v>
      </c>
    </row>
    <row r="58" spans="1:3" x14ac:dyDescent="0.25">
      <c r="A58" t="s">
        <v>61</v>
      </c>
      <c r="B58" t="s">
        <v>58</v>
      </c>
      <c r="C58">
        <v>1</v>
      </c>
    </row>
    <row r="59" spans="1:3" x14ac:dyDescent="0.25">
      <c r="A59" t="s">
        <v>60</v>
      </c>
      <c r="B59" t="s">
        <v>58</v>
      </c>
      <c r="C59">
        <v>5</v>
      </c>
    </row>
    <row r="60" spans="1:3" x14ac:dyDescent="0.25">
      <c r="A60" t="s">
        <v>59</v>
      </c>
      <c r="B60" t="s">
        <v>58</v>
      </c>
      <c r="C60">
        <v>2</v>
      </c>
    </row>
    <row r="61" spans="1:3" x14ac:dyDescent="0.25">
      <c r="A61" t="s">
        <v>57</v>
      </c>
      <c r="B61" t="s">
        <v>50</v>
      </c>
      <c r="C61">
        <v>10</v>
      </c>
    </row>
    <row r="62" spans="1:3" x14ac:dyDescent="0.25">
      <c r="A62" t="s">
        <v>56</v>
      </c>
      <c r="B62" t="s">
        <v>50</v>
      </c>
      <c r="C62">
        <v>50</v>
      </c>
    </row>
    <row r="63" spans="1:3" x14ac:dyDescent="0.25">
      <c r="A63" t="s">
        <v>55</v>
      </c>
      <c r="B63" t="s">
        <v>50</v>
      </c>
      <c r="C63">
        <v>1</v>
      </c>
    </row>
    <row r="64" spans="1:3" x14ac:dyDescent="0.25">
      <c r="A64" t="s">
        <v>54</v>
      </c>
      <c r="B64" t="s">
        <v>50</v>
      </c>
      <c r="C64">
        <v>3</v>
      </c>
    </row>
    <row r="65" spans="1:3" x14ac:dyDescent="0.25">
      <c r="A65" t="s">
        <v>53</v>
      </c>
      <c r="B65" t="s">
        <v>50</v>
      </c>
      <c r="C65">
        <v>15</v>
      </c>
    </row>
    <row r="66" spans="1:3" x14ac:dyDescent="0.25">
      <c r="A66" t="s">
        <v>52</v>
      </c>
      <c r="B66" t="s">
        <v>50</v>
      </c>
      <c r="C66">
        <v>26</v>
      </c>
    </row>
    <row r="67" spans="1:3" x14ac:dyDescent="0.25">
      <c r="A67" t="s">
        <v>51</v>
      </c>
      <c r="B67" t="s">
        <v>50</v>
      </c>
      <c r="C67">
        <v>6</v>
      </c>
    </row>
    <row r="68" spans="1:3" x14ac:dyDescent="0.25">
      <c r="A68" t="s">
        <v>49</v>
      </c>
      <c r="B68" t="s">
        <v>38</v>
      </c>
      <c r="C68">
        <v>5</v>
      </c>
    </row>
    <row r="69" spans="1:3" x14ac:dyDescent="0.25">
      <c r="A69" t="s">
        <v>48</v>
      </c>
      <c r="B69" t="s">
        <v>38</v>
      </c>
      <c r="C69">
        <v>70</v>
      </c>
    </row>
    <row r="70" spans="1:3" x14ac:dyDescent="0.25">
      <c r="A70" t="s">
        <v>47</v>
      </c>
      <c r="B70" t="s">
        <v>38</v>
      </c>
      <c r="C70">
        <v>1</v>
      </c>
    </row>
    <row r="71" spans="1:3" x14ac:dyDescent="0.25">
      <c r="A71" t="s">
        <v>46</v>
      </c>
      <c r="B71" t="s">
        <v>38</v>
      </c>
      <c r="C71">
        <v>19</v>
      </c>
    </row>
    <row r="72" spans="1:3" x14ac:dyDescent="0.25">
      <c r="A72" t="s">
        <v>45</v>
      </c>
      <c r="B72" t="s">
        <v>38</v>
      </c>
      <c r="C72">
        <v>5</v>
      </c>
    </row>
    <row r="73" spans="1:3" x14ac:dyDescent="0.25">
      <c r="A73" t="s">
        <v>44</v>
      </c>
      <c r="B73" t="s">
        <v>38</v>
      </c>
      <c r="C73">
        <v>68</v>
      </c>
    </row>
    <row r="74" spans="1:3" x14ac:dyDescent="0.25">
      <c r="A74" t="s">
        <v>43</v>
      </c>
      <c r="B74" t="s">
        <v>38</v>
      </c>
      <c r="C74">
        <v>158</v>
      </c>
    </row>
    <row r="75" spans="1:3" x14ac:dyDescent="0.25">
      <c r="A75" t="s">
        <v>42</v>
      </c>
      <c r="B75" t="s">
        <v>38</v>
      </c>
      <c r="C75">
        <v>37</v>
      </c>
    </row>
    <row r="76" spans="1:3" x14ac:dyDescent="0.25">
      <c r="A76" t="s">
        <v>41</v>
      </c>
      <c r="B76" t="s">
        <v>38</v>
      </c>
      <c r="C76">
        <v>9</v>
      </c>
    </row>
    <row r="77" spans="1:3" x14ac:dyDescent="0.25">
      <c r="A77" t="s">
        <v>40</v>
      </c>
      <c r="B77" t="s">
        <v>38</v>
      </c>
      <c r="C77">
        <v>221</v>
      </c>
    </row>
    <row r="78" spans="1:3" x14ac:dyDescent="0.25">
      <c r="A78" t="s">
        <v>39</v>
      </c>
      <c r="B78" t="s">
        <v>38</v>
      </c>
      <c r="C78">
        <v>5</v>
      </c>
    </row>
    <row r="79" spans="1:3" x14ac:dyDescent="0.25">
      <c r="A79" t="s">
        <v>37</v>
      </c>
      <c r="B79" t="s">
        <v>29</v>
      </c>
      <c r="C79">
        <v>203</v>
      </c>
    </row>
    <row r="80" spans="1:3" x14ac:dyDescent="0.25">
      <c r="A80" t="s">
        <v>36</v>
      </c>
      <c r="B80" t="s">
        <v>29</v>
      </c>
      <c r="C80">
        <v>13</v>
      </c>
    </row>
    <row r="81" spans="1:3" x14ac:dyDescent="0.25">
      <c r="A81" t="s">
        <v>35</v>
      </c>
      <c r="B81" t="s">
        <v>29</v>
      </c>
      <c r="C81">
        <v>8</v>
      </c>
    </row>
    <row r="82" spans="1:3" x14ac:dyDescent="0.25">
      <c r="A82" t="s">
        <v>34</v>
      </c>
      <c r="B82" t="s">
        <v>29</v>
      </c>
      <c r="C82">
        <v>10</v>
      </c>
    </row>
    <row r="83" spans="1:3" x14ac:dyDescent="0.25">
      <c r="A83" t="s">
        <v>33</v>
      </c>
      <c r="B83" t="s">
        <v>29</v>
      </c>
      <c r="C83">
        <v>8</v>
      </c>
    </row>
    <row r="84" spans="1:3" x14ac:dyDescent="0.25">
      <c r="A84" t="s">
        <v>32</v>
      </c>
      <c r="B84" t="s">
        <v>29</v>
      </c>
      <c r="C84">
        <v>2</v>
      </c>
    </row>
    <row r="85" spans="1:3" x14ac:dyDescent="0.25">
      <c r="A85" t="s">
        <v>31</v>
      </c>
      <c r="B85" t="s">
        <v>29</v>
      </c>
      <c r="C85">
        <v>3</v>
      </c>
    </row>
    <row r="86" spans="1:3" x14ac:dyDescent="0.25">
      <c r="A86" t="s">
        <v>30</v>
      </c>
      <c r="B86" t="s">
        <v>29</v>
      </c>
      <c r="C86">
        <v>101</v>
      </c>
    </row>
    <row r="87" spans="1:3" x14ac:dyDescent="0.25">
      <c r="A87" t="s">
        <v>28</v>
      </c>
      <c r="B87" s="1" t="s">
        <v>15</v>
      </c>
      <c r="C87">
        <v>7</v>
      </c>
    </row>
    <row r="88" spans="1:3" x14ac:dyDescent="0.25">
      <c r="A88" t="s">
        <v>27</v>
      </c>
      <c r="B88" t="s">
        <v>15</v>
      </c>
      <c r="C88">
        <v>61</v>
      </c>
    </row>
    <row r="89" spans="1:3" x14ac:dyDescent="0.25">
      <c r="A89" t="s">
        <v>26</v>
      </c>
      <c r="B89" t="s">
        <v>15</v>
      </c>
      <c r="C89">
        <v>38</v>
      </c>
    </row>
    <row r="90" spans="1:3" x14ac:dyDescent="0.25">
      <c r="A90" t="s">
        <v>25</v>
      </c>
      <c r="B90" t="s">
        <v>15</v>
      </c>
      <c r="C90">
        <v>1</v>
      </c>
    </row>
    <row r="91" spans="1:3" x14ac:dyDescent="0.25">
      <c r="A91" t="s">
        <v>24</v>
      </c>
      <c r="B91" t="s">
        <v>15</v>
      </c>
      <c r="C91">
        <v>1</v>
      </c>
    </row>
    <row r="92" spans="1:3" x14ac:dyDescent="0.25">
      <c r="A92" t="s">
        <v>23</v>
      </c>
      <c r="B92" t="s">
        <v>15</v>
      </c>
      <c r="C92">
        <v>10</v>
      </c>
    </row>
    <row r="93" spans="1:3" x14ac:dyDescent="0.25">
      <c r="A93" t="s">
        <v>22</v>
      </c>
      <c r="B93" t="s">
        <v>15</v>
      </c>
      <c r="C93">
        <v>12</v>
      </c>
    </row>
    <row r="94" spans="1:3" x14ac:dyDescent="0.25">
      <c r="A94" t="s">
        <v>21</v>
      </c>
      <c r="B94" t="s">
        <v>15</v>
      </c>
      <c r="C94">
        <v>1</v>
      </c>
    </row>
    <row r="95" spans="1:3" x14ac:dyDescent="0.25">
      <c r="A95" t="s">
        <v>20</v>
      </c>
      <c r="B95" t="s">
        <v>15</v>
      </c>
      <c r="C95">
        <v>18</v>
      </c>
    </row>
    <row r="96" spans="1:3" x14ac:dyDescent="0.25">
      <c r="A96" t="s">
        <v>19</v>
      </c>
      <c r="B96" t="s">
        <v>15</v>
      </c>
      <c r="C96">
        <v>2</v>
      </c>
    </row>
    <row r="97" spans="1:3" x14ac:dyDescent="0.25">
      <c r="A97" t="s">
        <v>18</v>
      </c>
      <c r="B97" t="s">
        <v>15</v>
      </c>
      <c r="C97">
        <v>201</v>
      </c>
    </row>
    <row r="98" spans="1:3" x14ac:dyDescent="0.25">
      <c r="A98" t="s">
        <v>17</v>
      </c>
      <c r="B98" t="s">
        <v>15</v>
      </c>
      <c r="C98">
        <v>186</v>
      </c>
    </row>
    <row r="99" spans="1:3" x14ac:dyDescent="0.25">
      <c r="A99" t="s">
        <v>16</v>
      </c>
      <c r="B99" t="s">
        <v>15</v>
      </c>
      <c r="C99">
        <v>8</v>
      </c>
    </row>
    <row r="100" spans="1:3" x14ac:dyDescent="0.25">
      <c r="A100" t="s">
        <v>14</v>
      </c>
      <c r="B100" t="s">
        <v>3</v>
      </c>
      <c r="C100">
        <v>13</v>
      </c>
    </row>
    <row r="101" spans="1:3" x14ac:dyDescent="0.25">
      <c r="A101" t="s">
        <v>13</v>
      </c>
      <c r="B101" t="s">
        <v>3</v>
      </c>
      <c r="C101">
        <v>30</v>
      </c>
    </row>
    <row r="102" spans="1:3" x14ac:dyDescent="0.25">
      <c r="A102" t="s">
        <v>12</v>
      </c>
      <c r="B102" t="s">
        <v>3</v>
      </c>
      <c r="C102">
        <v>14</v>
      </c>
    </row>
    <row r="103" spans="1:3" x14ac:dyDescent="0.25">
      <c r="A103" t="s">
        <v>11</v>
      </c>
      <c r="B103" t="s">
        <v>3</v>
      </c>
      <c r="C103">
        <v>100</v>
      </c>
    </row>
    <row r="104" spans="1:3" x14ac:dyDescent="0.25">
      <c r="A104" t="s">
        <v>10</v>
      </c>
      <c r="B104" t="s">
        <v>3</v>
      </c>
      <c r="C104">
        <v>10</v>
      </c>
    </row>
    <row r="105" spans="1:3" x14ac:dyDescent="0.25">
      <c r="A105" t="s">
        <v>9</v>
      </c>
      <c r="B105" t="s">
        <v>3</v>
      </c>
      <c r="C105">
        <v>5</v>
      </c>
    </row>
    <row r="106" spans="1:3" x14ac:dyDescent="0.25">
      <c r="A106" t="s">
        <v>8</v>
      </c>
      <c r="B106" t="s">
        <v>3</v>
      </c>
      <c r="C106">
        <v>2</v>
      </c>
    </row>
    <row r="107" spans="1:3" x14ac:dyDescent="0.25">
      <c r="A107" t="s">
        <v>7</v>
      </c>
      <c r="B107" t="s">
        <v>3</v>
      </c>
      <c r="C107">
        <v>32</v>
      </c>
    </row>
    <row r="108" spans="1:3" x14ac:dyDescent="0.25">
      <c r="A108" t="s">
        <v>6</v>
      </c>
      <c r="B108" t="s">
        <v>3</v>
      </c>
      <c r="C108">
        <v>29</v>
      </c>
    </row>
    <row r="109" spans="1:3" x14ac:dyDescent="0.25">
      <c r="A109" t="s">
        <v>5</v>
      </c>
      <c r="B109" t="s">
        <v>3</v>
      </c>
      <c r="C109">
        <v>18</v>
      </c>
    </row>
    <row r="110" spans="1:3" x14ac:dyDescent="0.25">
      <c r="A110" t="s">
        <v>4</v>
      </c>
      <c r="B110" t="s">
        <v>3</v>
      </c>
      <c r="C110">
        <v>24</v>
      </c>
    </row>
    <row r="111" spans="1:3" x14ac:dyDescent="0.25">
      <c r="A111" t="s">
        <v>2</v>
      </c>
      <c r="B111" t="s">
        <v>0</v>
      </c>
      <c r="C111">
        <v>1</v>
      </c>
    </row>
    <row r="112" spans="1:3" x14ac:dyDescent="0.25">
      <c r="A112" t="s">
        <v>1</v>
      </c>
      <c r="B112" t="s">
        <v>0</v>
      </c>
      <c r="C112">
        <v>19</v>
      </c>
    </row>
    <row r="113" spans="1:3" x14ac:dyDescent="0.25">
      <c r="A113" t="s">
        <v>0</v>
      </c>
      <c r="B113" t="s">
        <v>0</v>
      </c>
      <c r="C113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0299-6B4B-4BFC-B2A4-9DB7C03BDEAA}">
  <dimension ref="A1:B17"/>
  <sheetViews>
    <sheetView tabSelected="1" workbookViewId="0">
      <selection activeCell="D2" sqref="D2"/>
    </sheetView>
  </sheetViews>
  <sheetFormatPr defaultRowHeight="15" x14ac:dyDescent="0.25"/>
  <cols>
    <col min="1" max="1" width="20.140625" customWidth="1"/>
  </cols>
  <sheetData>
    <row r="1" spans="1:2" x14ac:dyDescent="0.25">
      <c r="A1" t="s">
        <v>125</v>
      </c>
      <c r="B1" t="s">
        <v>127</v>
      </c>
    </row>
    <row r="2" spans="1:2" x14ac:dyDescent="0.25">
      <c r="A2">
        <v>911</v>
      </c>
      <c r="B2">
        <f>SUMIF('Call Types'!B:B,A2,'Call Types'!C:C)</f>
        <v>108</v>
      </c>
    </row>
    <row r="3" spans="1:2" x14ac:dyDescent="0.25">
      <c r="A3" t="s">
        <v>112</v>
      </c>
      <c r="B3">
        <f>SUMIF('Call Types'!B:B,A3,'Call Types'!C:C)</f>
        <v>564</v>
      </c>
    </row>
    <row r="4" spans="1:2" x14ac:dyDescent="0.25">
      <c r="A4" t="s">
        <v>109</v>
      </c>
      <c r="B4">
        <f>SUMIF('Call Types'!B:B,A4,'Call Types'!C:C)</f>
        <v>94</v>
      </c>
    </row>
    <row r="5" spans="1:2" x14ac:dyDescent="0.25">
      <c r="A5" t="s">
        <v>104</v>
      </c>
      <c r="B5">
        <f>SUMIF('Call Types'!B:B,A5,'Call Types'!C:C)</f>
        <v>155</v>
      </c>
    </row>
    <row r="6" spans="1:2" x14ac:dyDescent="0.25">
      <c r="A6" t="s">
        <v>91</v>
      </c>
      <c r="B6">
        <f>SUMIF('Call Types'!B:B,A6,'Call Types'!C:C)</f>
        <v>93</v>
      </c>
    </row>
    <row r="7" spans="1:2" x14ac:dyDescent="0.25">
      <c r="A7" t="s">
        <v>65</v>
      </c>
      <c r="B7">
        <f>SUMIF('Call Types'!B:B,A7,'Call Types'!C:C)</f>
        <v>134</v>
      </c>
    </row>
    <row r="8" spans="1:2" x14ac:dyDescent="0.25">
      <c r="A8" t="s">
        <v>62</v>
      </c>
      <c r="B8">
        <f>SUMIF('Call Types'!B:B,A8,'Call Types'!C:C)</f>
        <v>8</v>
      </c>
    </row>
    <row r="9" spans="1:2" x14ac:dyDescent="0.25">
      <c r="A9" t="s">
        <v>58</v>
      </c>
      <c r="B9">
        <f>SUMIF('Call Types'!B:B,A9,'Call Types'!C:C)</f>
        <v>8</v>
      </c>
    </row>
    <row r="10" spans="1:2" x14ac:dyDescent="0.25">
      <c r="A10" t="s">
        <v>50</v>
      </c>
      <c r="B10">
        <f>SUMIF('Call Types'!B:B,A10,'Call Types'!C:C)</f>
        <v>111</v>
      </c>
    </row>
    <row r="11" spans="1:2" x14ac:dyDescent="0.25">
      <c r="A11" t="s">
        <v>38</v>
      </c>
      <c r="B11">
        <f>SUMIF('Call Types'!B:B,A11,'Call Types'!C:C)</f>
        <v>598</v>
      </c>
    </row>
    <row r="12" spans="1:2" x14ac:dyDescent="0.25">
      <c r="A12" t="s">
        <v>29</v>
      </c>
      <c r="B12">
        <f>SUMIF('Call Types'!B:B,A12,'Call Types'!C:C)</f>
        <v>348</v>
      </c>
    </row>
    <row r="13" spans="1:2" x14ac:dyDescent="0.25">
      <c r="A13" s="1" t="s">
        <v>15</v>
      </c>
      <c r="B13">
        <f>SUMIF('Call Types'!B:B,A13,'Call Types'!C:C)</f>
        <v>546</v>
      </c>
    </row>
    <row r="14" spans="1:2" x14ac:dyDescent="0.25">
      <c r="A14" t="s">
        <v>3</v>
      </c>
      <c r="B14">
        <f>SUMIF('Call Types'!B:B,A14,'Call Types'!C:C)</f>
        <v>277</v>
      </c>
    </row>
    <row r="15" spans="1:2" x14ac:dyDescent="0.25">
      <c r="A15" t="s">
        <v>0</v>
      </c>
      <c r="B15">
        <f>SUMIF('Call Types'!B:B,A15,'Call Types'!C:C)</f>
        <v>109</v>
      </c>
    </row>
    <row r="17" spans="1:2" x14ac:dyDescent="0.25">
      <c r="A17" t="s">
        <v>127</v>
      </c>
      <c r="B17">
        <f>SUM(B2:B15)</f>
        <v>3153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 Types</vt:lpstr>
      <vt:lpstr>Groupings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Ross</dc:creator>
  <cp:lastModifiedBy>Brian Ross</cp:lastModifiedBy>
  <dcterms:created xsi:type="dcterms:W3CDTF">2018-10-05T21:29:55Z</dcterms:created>
  <dcterms:modified xsi:type="dcterms:W3CDTF">2018-10-05T21:42:33Z</dcterms:modified>
</cp:coreProperties>
</file>